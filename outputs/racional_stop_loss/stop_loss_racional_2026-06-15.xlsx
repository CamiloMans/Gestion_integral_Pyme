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36dad3284442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op Loss" sheetId="1" r:id="Rafdbaf98190e44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US$#,##0.00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000FF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b/>
      <x:sz val="11"/>
      <x:color rgb="FF374151"/>
      <x:name val="Carlito"/>
    </x:font>
    <x:font>
      <x:i/>
      <x:sz val="11"/>
      <x:color rgb="FF5C450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4E4F"/>
      </x:patternFill>
    </x:fill>
    <x:fill>
      <x:patternFill patternType="solid">
        <x:fgColor rgb="FFE7F3F1"/>
      </x:patternFill>
    </x:fill>
    <x:fill>
      <x:patternFill patternType="solid">
        <x:fgColor rgb="FF215E61"/>
      </x:patternFill>
    </x:fill>
    <x:fill>
      <x:patternFill patternType="solid">
        <x:fgColor rgb="FFFFFFFF"/>
      </x:patternFill>
    </x:fill>
    <x:fill>
      <x:patternFill patternType="solid">
        <x:fgColor rgb="FFF7FAFA"/>
      </x:patternFill>
    </x:fill>
    <x:fill>
      <x:patternFill patternType="solid">
        <x:fgColor rgb="FFF4F7F7"/>
      </x:patternFill>
    </x:fill>
    <x:fill>
      <x:patternFill patternType="solid">
        <x:fgColor rgb="FFFFF8E1"/>
      </x:patternFill>
    </x:fill>
  </x:fills>
  <x:borders count="5">
    <x:border/>
    <x:border>
      <x:left style="thin">
        <x:color rgb="FFB7D5D1"/>
      </x:left>
      <x:right style="thin">
        <x:color rgb="FFB7D5D1"/>
      </x:right>
      <x:top style="thin">
        <x:color rgb="FFB7D5D1"/>
      </x:top>
      <x:bottom style="thin">
        <x:color rgb="FFB7D5D1"/>
      </x:bottom>
    </x:border>
    <x:border>
      <x:left style="thin">
        <x:color rgb="FF174E4F"/>
      </x:left>
      <x:right style="thin">
        <x:color rgb="FF174E4F"/>
      </x:right>
      <x:top style="thin">
        <x:color rgb="FF174E4F"/>
      </x:top>
      <x:bottom style="thin">
        <x:color rgb="FF174E4F"/>
      </x:bottom>
    </x:border>
    <x:border>
      <x:left style="thin">
        <x:color rgb="FFD5DEE2"/>
      </x:left>
      <x:right style="thin">
        <x:color rgb="FFD5DEE2"/>
      </x:right>
      <x:top style="thin">
        <x:color rgb="FFD5DEE2"/>
      </x:top>
      <x:bottom style="thin">
        <x:color rgb="FFD5DEE2"/>
      </x:bottom>
    </x:border>
    <x:border>
      <x:left style="thin">
        <x:color rgb="FFE8D28A"/>
      </x:left>
      <x:right style="thin">
        <x:color rgb="FFE8D28A"/>
      </x:right>
      <x:top style="thin">
        <x:color rgb="FFE8D28A"/>
      </x:top>
      <x:bottom style="thin">
        <x:color rgb="FFE8D28A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20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3" xfId="0" applyNumberFormat="1" applyFont="1" applyFill="1" applyBorder="1"/>
    <x:xf numFmtId="201" fontId="4" fillId="5" borderId="3" xfId="0" applyNumberFormat="1" applyFont="1" applyFill="1" applyBorder="1"/>
    <x:xf numFmtId="200" fontId="4" fillId="5" borderId="3" xfId="0" applyNumberFormat="1" applyFont="1" applyFill="1" applyBorder="1"/>
    <x:xf numFmtId="0" fontId="4" fillId="6" borderId="3" xfId="0" applyNumberFormat="1" applyFont="1" applyFill="1" applyBorder="1"/>
    <x:xf numFmtId="201" fontId="4" fillId="6" borderId="3" xfId="0" applyNumberFormat="1" applyFont="1" applyFill="1" applyBorder="1"/>
    <x:xf numFmtId="200" fontId="4" fillId="6" borderId="3" xfId="0" applyNumberFormat="1" applyFont="1" applyFill="1" applyBorder="1"/>
    <x:xf numFmtId="0" fontId="3" fillId="4" borderId="3" xfId="0" applyNumberFormat="1" applyFont="1" applyFill="1" applyBorder="1" applyAlignment="1">
      <x:alignment horizontal="center"/>
    </x:xf>
    <x:xf numFmtId="0" fontId="2" fillId="6" borderId="3" xfId="0" applyNumberFormat="1" applyFont="1" applyFill="1" applyBorder="1"/>
    <x:xf numFmtId="0" fontId="2" fillId="5" borderId="3" xfId="0" applyNumberFormat="1" applyFont="1" applyFill="1" applyBorder="1"/>
    <x:xf numFmtId="201" fontId="4" fillId="6" borderId="3" xfId="0" applyNumberFormat="1" applyFont="1" applyFill="1" applyBorder="1" applyAlignment="1">
      <x:alignment horizontal="right"/>
    </x:xf>
    <x:xf numFmtId="200" fontId="4" fillId="6" borderId="3" xfId="0" applyNumberFormat="1" applyFont="1" applyFill="1" applyBorder="1" applyAlignment="1">
      <x:alignment horizontal="right"/>
    </x:xf>
    <x:xf numFmtId="201" fontId="4" fillId="5" borderId="3" xfId="0" applyNumberFormat="1" applyFont="1" applyFill="1" applyBorder="1" applyAlignment="1">
      <x:alignment horizontal="right"/>
    </x:xf>
    <x:xf numFmtId="200" fontId="4" fillId="5" borderId="3" xfId="0" applyNumberFormat="1" applyFont="1" applyFill="1" applyBorder="1" applyAlignment="1">
      <x:alignment horizontal="right"/>
    </x:xf>
    <x:xf numFmtId="201" fontId="5" fillId="6" borderId="3" xfId="0" applyNumberFormat="1" applyFont="1" applyFill="1" applyBorder="1" applyAlignment="1">
      <x:alignment horizontal="right"/>
    </x:xf>
    <x:xf numFmtId="201" fontId="5" fillId="5" borderId="3" xfId="0" applyNumberFormat="1" applyFont="1" applyFill="1" applyBorder="1" applyAlignment="1">
      <x:alignment horizontal="right"/>
    </x:xf>
    <x:xf numFmtId="0" fontId="3" fillId="4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0" fillId="7" borderId="3" xfId="0" applyNumberFormat="1" applyFont="1" applyFill="1" applyBorder="1"/>
    <x:xf numFmtId="0" fontId="6" fillId="7" borderId="3" xfId="0" applyNumberFormat="1" applyFont="1" applyFill="1" applyBorder="1"/>
    <x:xf numFmtId="201" fontId="0" fillId="7" borderId="3" xfId="0" applyNumberFormat="1" applyFont="1" applyFill="1" applyBorder="1"/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4" xfId="0" applyNumberFormat="1" applyFont="1" applyFill="1" applyBorder="1"/>
    <x:xf numFmtId="0" fontId="7" fillId="8" borderId="4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69be4bd2584626" /><Relationship Type="http://schemas.openxmlformats.org/officeDocument/2006/relationships/theme" Target="/xl/theme/theme1.xml" Id="R686bd0be353e4170" /><Relationship Type="http://schemas.openxmlformats.org/officeDocument/2006/relationships/sharedStrings" Target="/xl/sharedStrings.xml" Id="R8630fdcaf73d47fd" /><Relationship Type="http://schemas.openxmlformats.org/officeDocument/2006/relationships/worksheet" Target="/xl/worksheets/sheet1.xml" Id="Rafdbaf98190e44b0" /></Relationships>
</file>

<file path=xl/tables/table1.xml><?xml version="1.0" encoding="utf-8"?>
<x:table xmlns:x="http://schemas.openxmlformats.org/spreadsheetml/2006/main" id="1" name="StopLossTable" displayName="StopLossTable" ref="A5:D19" headerRowCount="1">
  <x:autoFilter ref="A5:D19"/>
  <x:tableColumns count="4">
    <x:tableColumn id="1" name="Stock"/>
    <x:tableColumn id="2" name="Costo promedio (US$)"/>
    <x:tableColumn id="3" name="% ganancia"/>
    <x:tableColumn id="4" name="Stop loss (US$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3dcd45172f3404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5" hidden="0" customWidth="1"/>
    <x:col min="2" max="2" width="19.5" hidden="0" customWidth="1"/>
    <x:col min="3" max="3" width="14.75" hidden="0" customWidth="1"/>
    <x:col min="4" max="4" width="17.5" hidden="0" customWidth="1"/>
    <x:col min="6" max="6" width="15" hidden="0" customWidth="1"/>
    <x:col min="7" max="7" width="16.25" hidden="0" customWidth="1"/>
  </x:cols>
  <x:sheetData>
    <x:row r="1" ht="25.5" customHeight="1">
      <x:c r="A1" s="4" t="str">
        <x:v>Stop loss por accion</x:v>
      </x:c>
    </x:row>
    <x:row r="3">
      <x:c r="A3" s="7" t="str">
        <x:v>Descuento stop loss</x:v>
      </x:c>
      <x:c r="B3" s="8" t="n">
        <x:v>0.03</x:v>
      </x:c>
    </x:row>
    <x:row r="5">
      <x:c r="A5" s="21" t="str">
        <x:v>Stock</x:v>
      </x:c>
      <x:c r="B5" s="21" t="str">
        <x:v>Costo promedio (US$)</x:v>
      </x:c>
      <x:c r="C5" s="21" t="str">
        <x:v>% ganancia</x:v>
      </x:c>
      <x:c r="D5" s="21" t="str">
        <x:v>Stop loss (US$)</x:v>
      </x:c>
      <x:c r="F5" s="30" t="str">
        <x:v>Resumen</x:v>
      </x:c>
      <x:c r="G5" s="30" t="str"/>
    </x:row>
    <x:row r="6">
      <x:c r="A6" s="22" t="str">
        <x:v>AMD</x:v>
      </x:c>
      <x:c r="B6" s="24" t="n">
        <x:v>219.57</x:v>
      </x:c>
      <x:c r="C6" s="25" t="n">
        <x:v>1.3297999999999999</x:v>
      </x:c>
      <x:c r="D6" s="28" t="n">
        <x:f>ROUND(B6*(1+C6-$B$3),2)</x:f>
        <x:v>504.97</x:v>
      </x:c>
      <x:c r="F6" s="33" t="str">
        <x:v>Acciones</x:v>
      </x:c>
      <x:c r="G6" s="32" t="n">
        <x:v>14</x:v>
      </x:c>
    </x:row>
    <x:row r="7">
      <x:c r="A7" s="23" t="str">
        <x:v>ASML</x:v>
      </x:c>
      <x:c r="B7" s="26" t="n">
        <x:v>865.72</x:v>
      </x:c>
      <x:c r="C7" s="27" t="n">
        <x:v>1.1526</x:v>
      </x:c>
      <x:c r="D7" s="29" t="n">
        <x:f>ROUND(B7*(1+C7-$B$3),2)</x:f>
        <x:v>1837.58</x:v>
      </x:c>
      <x:c r="F7" s="33" t="str">
        <x:v>Stop loss max.</x:v>
      </x:c>
      <x:c r="G7" s="34" t="n">
        <x:f>ROUND(MAX(D6:D19),2)</x:f>
        <x:v>1837.58</x:v>
      </x:c>
    </x:row>
    <x:row r="8">
      <x:c r="A8" s="22" t="str">
        <x:v>GOOGL</x:v>
      </x:c>
      <x:c r="B8" s="24" t="n">
        <x:v>245.21</x:v>
      </x:c>
      <x:c r="C8" s="25" t="n">
        <x:v>0.4669</x:v>
      </x:c>
      <x:c r="D8" s="28" t="n">
        <x:f>ROUND(B8*(1+C8-$B$3),2)</x:f>
        <x:v>352.34</x:v>
      </x:c>
      <x:c r="F8" s="33" t="str">
        <x:v>Stop loss min.</x:v>
      </x:c>
      <x:c r="G8" s="34" t="n">
        <x:f>ROUND(MIN(D6:D19),2)</x:f>
        <x:v>40.61</x:v>
      </x:c>
    </x:row>
    <x:row r="9">
      <x:c r="A9" s="23" t="str">
        <x:v>IBKR</x:v>
      </x:c>
      <x:c r="B9" s="26" t="n">
        <x:v>63.5</x:v>
      </x:c>
      <x:c r="C9" s="27" t="n">
        <x:v>0.43</x:v>
      </x:c>
      <x:c r="D9" s="29" t="n">
        <x:f>ROUND(B9*(1+C9-$B$3),2)</x:f>
        <x:v>88.9</x:v>
      </x:c>
      <x:c r="F9" s="33" t="str">
        <x:v>Extraido</x:v>
      </x:c>
      <x:c r="G9" s="32" t="str">
        <x:v>2026-06-15</x:v>
      </x:c>
    </x:row>
    <x:row r="10">
      <x:c r="A10" s="22" t="str">
        <x:v>ARGT</x:v>
      </x:c>
      <x:c r="B10" s="24" t="n">
        <x:v>73.52</x:v>
      </x:c>
      <x:c r="C10" s="25" t="n">
        <x:v>0.3317</x:v>
      </x:c>
      <x:c r="D10" s="28" t="n">
        <x:f>ROUND(B10*(1+C10-$B$3),2)</x:f>
        <x:v>95.7</x:v>
      </x:c>
    </x:row>
    <x:row r="11">
      <x:c r="A11" s="23" t="str">
        <x:v>QQQM</x:v>
      </x:c>
      <x:c r="B11" s="26" t="n">
        <x:v>254.87</x:v>
      </x:c>
      <x:c r="C11" s="27" t="n">
        <x:v>0.1653</x:v>
      </x:c>
      <x:c r="D11" s="29" t="n">
        <x:f>ROUND(B11*(1+C11-$B$3),2)</x:f>
        <x:v>289.35</x:v>
      </x:c>
    </x:row>
    <x:row r="12">
      <x:c r="A12" s="22" t="str">
        <x:v>VT</x:v>
      </x:c>
      <x:c r="B12" s="24" t="n">
        <x:v>142.86</x:v>
      </x:c>
      <x:c r="C12" s="25" t="n">
        <x:v>0.094</x:v>
      </x:c>
      <x:c r="D12" s="28" t="n">
        <x:f>ROUND(B12*(1+C12-$B$3),2)</x:f>
        <x:v>152</x:v>
      </x:c>
    </x:row>
    <x:row r="13">
      <x:c r="A13" s="23" t="str">
        <x:v>VOO</x:v>
      </x:c>
      <x:c r="B13" s="26" t="n">
        <x:v>627.9</x:v>
      </x:c>
      <x:c r="C13" s="27" t="n">
        <x:v>0.0861</x:v>
      </x:c>
      <x:c r="D13" s="29" t="n">
        <x:f>ROUND(B13*(1+C13-$B$3),2)</x:f>
        <x:v>663.13</x:v>
      </x:c>
    </x:row>
    <x:row r="14">
      <x:c r="A14" s="22" t="str">
        <x:v>ITDI</x:v>
      </x:c>
      <x:c r="B14" s="24" t="n">
        <x:v>38.78</x:v>
      </x:c>
      <x:c r="C14" s="25" t="n">
        <x:v>0.07719999999999999</x:v>
      </x:c>
      <x:c r="D14" s="28" t="n">
        <x:f>ROUND(B14*(1+C14-$B$3),2)</x:f>
        <x:v>40.61</x:v>
      </x:c>
    </x:row>
    <x:row r="15">
      <x:c r="A15" s="23" t="str">
        <x:v>TSLA</x:v>
      </x:c>
      <x:c r="B15" s="26" t="n">
        <x:v>397.59</x:v>
      </x:c>
      <x:c r="C15" s="27" t="n">
        <x:v>0.0223</x:v>
      </x:c>
      <x:c r="D15" s="29" t="n">
        <x:f>ROUND(B15*(1+C15-$B$3),2)</x:f>
        <x:v>394.53</x:v>
      </x:c>
    </x:row>
    <x:row r="16">
      <x:c r="A16" s="22" t="str">
        <x:v>GLDM</x:v>
      </x:c>
      <x:c r="B16" s="24" t="n">
        <x:v>82.44</x:v>
      </x:c>
      <x:c r="C16" s="25" t="n">
        <x:v>0.010700000000000001</x:v>
      </x:c>
      <x:c r="D16" s="28" t="n">
        <x:f>ROUND(B16*(1+C16-$B$3),2)</x:f>
        <x:v>80.85</x:v>
      </x:c>
    </x:row>
    <x:row r="17">
      <x:c r="A17" s="23" t="str">
        <x:v>BRK.B</x:v>
      </x:c>
      <x:c r="B17" s="26" t="n">
        <x:v>494.79</x:v>
      </x:c>
      <x:c r="C17" s="27" t="n">
        <x:v>-0.011200000000000002</x:v>
      </x:c>
      <x:c r="D17" s="29" t="n">
        <x:f>ROUND(B17*(1+C17-$B$3),2)</x:f>
        <x:v>474.4</x:v>
      </x:c>
    </x:row>
    <x:row r="18">
      <x:c r="A18" s="22" t="str">
        <x:v>NVDA</x:v>
      </x:c>
      <x:c r="B18" s="24" t="n">
        <x:v>217.69</x:v>
      </x:c>
      <x:c r="C18" s="25" t="n">
        <x:v>-0.0574</x:v>
      </x:c>
      <x:c r="D18" s="28" t="n">
        <x:f>ROUND(B18*(1+C18-$B$3),2)</x:f>
        <x:v>198.66</x:v>
      </x:c>
    </x:row>
    <x:row r="19">
      <x:c r="A19" s="23" t="str">
        <x:v>META</x:v>
      </x:c>
      <x:c r="B19" s="26" t="n">
        <x:v>651.93</x:v>
      </x:c>
      <x:c r="C19" s="27" t="n">
        <x:v>-0.1303</x:v>
      </x:c>
      <x:c r="D19" s="29" t="n">
        <x:f>ROUND(B19*(1+C19-$B$3),2)</x:f>
        <x:v>547.43</x:v>
      </x:c>
    </x:row>
    <x:row r="21">
      <x:c r="A21" s="38" t="str">
        <x:v>Formula usada: Costo promedio * (1 + % ganancia - descuento stop loss). Cambia B3 si quieres otro descuento. Fuente: https://app.racional.cl/tabs/home</x:v>
      </x:c>
    </x:row>
  </x:sheetData>
  <x:mergeCells>
    <x:mergeCell ref="A1:D1"/>
    <x:mergeCell ref="A21:D21"/>
  </x:mergeCells>
  <x:pageMargins left="0.7" right="0.7" top="0.75" bottom="0.75" header="0.3" footer="0.3"/>
  <x:tableParts count="1">
    <x:tablePart xmlns:r="http://schemas.openxmlformats.org/officeDocument/2006/relationships" r:id="Rd3dcd45172f34044"/>
  </x:tableParts>
</x:worksheet>
</file>